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<sst xmlns="http://schemas.openxmlformats.org/spreadsheetml/2006/main" count="45" uniqueCount="17">
  <si>
    <t>Emotion</t>
  </si>
  <si>
    <t>Total Elements</t>
  </si>
  <si>
    <t>Correct Classification</t>
  </si>
  <si>
    <t>Not Detected</t>
  </si>
  <si>
    <t>Wrong Classification</t>
  </si>
  <si>
    <t>Precision</t>
  </si>
  <si>
    <t>Recall</t>
  </si>
  <si>
    <t>F1-Score</t>
  </si>
  <si>
    <t>Accuracy</t>
  </si>
  <si>
    <t>Happy</t>
  </si>
  <si>
    <t>Neutral</t>
  </si>
  <si>
    <t>Surprise</t>
  </si>
  <si>
    <t>Fear</t>
  </si>
  <si>
    <t>Disgust</t>
  </si>
  <si>
    <t>Sad</t>
  </si>
  <si>
    <t>Angry</t>
  </si>
  <si>
    <t>Totale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</si>
</sst>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3" pivot="0" name="Foglio1-style">
      <tableStyleElement dxfId="1" type="headerRow"/>
      <tableStyleElement dxfId="2" type="firstRowStripe"/>
      <tableStyleElement dxfId="3" type="secondRowStripe"/>
    </tableStyle>
    <tableStyle count="3" pivot="0" name="Foglio1-style 2">
      <tableStyleElement dxfId="1" type="headerRow"/>
      <tableStyleElement dxfId="2" type="firstRowStripe"/>
      <tableStyleElement dxfId="3" type="secondRowStripe"/>
    </tableStyle>
    <tableStyle count="3" pivot="0" name="Foglio1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Errori per Emozione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Foglio1!$B$1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Foglio1!$B$2:$B$8</c:f>
              <c:numCache/>
            </c:numRef>
          </c:val>
        </c:ser>
        <c:ser>
          <c:idx val="1"/>
          <c:order val="1"/>
          <c:tx>
            <c:strRef>
              <c:f>Foglio1!$E$1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Foglio1!$E$2:$E$8</c:f>
              <c:numCache/>
            </c:numRef>
          </c:val>
        </c:ser>
        <c:axId val="1614804968"/>
        <c:axId val="2066507151"/>
      </c:barChart>
      <c:catAx>
        <c:axId val="1614804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507151"/>
      </c:catAx>
      <c:valAx>
        <c:axId val="2066507151"/>
        <c:scaling>
          <c:orientation val="minMax"/>
          <c:max val="9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804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Precision, Recall e F1-Score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Foglio1!$F$1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Foglio1!$F$2:$F$8</c:f>
              <c:numCache/>
            </c:numRef>
          </c:val>
        </c:ser>
        <c:ser>
          <c:idx val="1"/>
          <c:order val="1"/>
          <c:tx>
            <c:strRef>
              <c:f>Foglio1!$G$1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Foglio1!$G$2:$G$8</c:f>
              <c:numCache/>
            </c:numRef>
          </c:val>
        </c:ser>
        <c:ser>
          <c:idx val="2"/>
          <c:order val="2"/>
          <c:tx>
            <c:strRef>
              <c:f>Foglio1!$H$1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Foglio1!$A$2:$A$8</c:f>
            </c:strRef>
          </c:cat>
          <c:val>
            <c:numRef>
              <c:f>Foglio1!$H$2:$H$8</c:f>
              <c:numCache/>
            </c:numRef>
          </c:val>
        </c:ser>
        <c:axId val="1771917801"/>
        <c:axId val="1469448844"/>
      </c:barChart>
      <c:catAx>
        <c:axId val="1771917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448844"/>
      </c:catAx>
      <c:valAx>
        <c:axId val="1469448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917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Foglio1!$C$10:$E$10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-0.0016666666666666668"/>
          <c:y val="0.0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Elements e Wrong Classification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Foglio1!$B$25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Foglio1!$B$26:$B$32</c:f>
              <c:numCache/>
            </c:numRef>
          </c:val>
        </c:ser>
        <c:ser>
          <c:idx val="1"/>
          <c:order val="1"/>
          <c:tx>
            <c:strRef>
              <c:f>Foglio1!$D$25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Foglio1!$D$26:$D$32</c:f>
              <c:numCache/>
            </c:numRef>
          </c:val>
        </c:ser>
        <c:axId val="280257452"/>
        <c:axId val="127847864"/>
      </c:barChart>
      <c:catAx>
        <c:axId val="280257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47864"/>
      </c:catAx>
      <c:valAx>
        <c:axId val="127847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2574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Precision, Recall e F1-Score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Precision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Foglio1!$E$26:$E$32</c:f>
              <c:numCache/>
            </c:numRef>
          </c:val>
        </c:ser>
        <c:ser>
          <c:idx val="1"/>
          <c:order val="1"/>
          <c:tx>
            <c:v>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Foglio1!$F$26:$F$32</c:f>
              <c:numCache/>
            </c:numRef>
          </c:val>
        </c:ser>
        <c:ser>
          <c:idx val="2"/>
          <c:order val="2"/>
          <c:tx>
            <c:v>F1-Score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Foglio1!$A$26:$A$32</c:f>
            </c:strRef>
          </c:cat>
          <c:val>
            <c:numRef>
              <c:f>Foglio1!$G$26:$G$32</c:f>
              <c:numCache/>
            </c:numRef>
          </c:val>
        </c:ser>
        <c:axId val="2119856284"/>
        <c:axId val="223041413"/>
      </c:barChart>
      <c:catAx>
        <c:axId val="2119856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Emotion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041413"/>
      </c:catAx>
      <c:valAx>
        <c:axId val="223041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856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Foglio1!$C$34:$D$34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-0.0016666666666666668"/>
          <c:y val="0.0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Foglio1!$C$58:$D$58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-0.0016666666666666668"/>
          <c:y val="0.0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0</xdr:rowOff>
    </xdr:from>
    <xdr:ext cx="3924300" cy="24288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1857375</xdr:colOff>
      <xdr:row>10</xdr:row>
      <xdr:rowOff>0</xdr:rowOff>
    </xdr:from>
    <xdr:ext cx="3924300" cy="242887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514350</xdr:colOff>
      <xdr:row>10</xdr:row>
      <xdr:rowOff>0</xdr:rowOff>
    </xdr:from>
    <xdr:ext cx="4000500" cy="242887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0</xdr:rowOff>
    </xdr:from>
    <xdr:ext cx="3924300" cy="2428875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1857375</xdr:colOff>
      <xdr:row>34</xdr:row>
      <xdr:rowOff>0</xdr:rowOff>
    </xdr:from>
    <xdr:ext cx="3924300" cy="2428875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514350</xdr:colOff>
      <xdr:row>34</xdr:row>
      <xdr:rowOff>0</xdr:rowOff>
    </xdr:from>
    <xdr:ext cx="4000500" cy="2428875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514350</xdr:colOff>
      <xdr:row>59</xdr:row>
      <xdr:rowOff>0</xdr:rowOff>
    </xdr:from>
    <xdr:ext cx="4000500" cy="2428875"/>
    <xdr:graphicFrame>
      <xdr:nvGraphicFramePr>
        <xdr:cNvPr id="7" name="Chart 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10" displayName="First_Analysis" name="First_Analysis" id="1">
  <tableColumns count="9">
    <tableColumn name="Emotion" id="1"/>
    <tableColumn name="Total Elements" id="2"/>
    <tableColumn name="Correct Classification" id="3"/>
    <tableColumn name="Not Detected" id="4"/>
    <tableColumn name="Wrong Classification" id="5"/>
    <tableColumn name="Precision" id="6"/>
    <tableColumn name="Recall" id="7"/>
    <tableColumn name="F1-Score" id="8"/>
    <tableColumn name="Accuracy" id="9"/>
  </tableColumns>
  <tableStyleInfo name="Foglio1-style" showColumnStripes="0" showFirstColumn="1" showLastColumn="1" showRowStripes="1"/>
</table>
</file>

<file path=xl/tables/table2.xml><?xml version="1.0" encoding="utf-8"?>
<table xmlns="http://schemas.openxmlformats.org/spreadsheetml/2006/main" ref="A25:H34" displayName="ENFORCED_ANALYSIS_NOT_DETECTED" name="ENFORCED_ANALYSIS_NOT_DETECTED" id="2">
  <tableColumns count="8">
    <tableColumn name="Emotion" id="1"/>
    <tableColumn name="Total Elements" id="2"/>
    <tableColumn name="Correct Classification" id="3"/>
    <tableColumn name="Wrong Classification" id="4"/>
    <tableColumn name="Precision" id="5"/>
    <tableColumn name="Recall" id="6"/>
    <tableColumn name="F1-Score" id="7"/>
    <tableColumn name="Accuracy" id="8"/>
  </tableColumns>
  <tableStyleInfo name="Foglio1-style 2" showColumnStripes="0" showFirstColumn="1" showLastColumn="1" showRowStripes="1"/>
</table>
</file>

<file path=xl/tables/table3.xml><?xml version="1.0" encoding="utf-8"?>
<table xmlns="http://schemas.openxmlformats.org/spreadsheetml/2006/main" ref="A49:D58" displayName="TOTAL_ENFORCED_ANALYSIS" name="TOTAL_ENFORCED_ANALYSIS" id="3">
  <tableColumns count="4">
    <tableColumn name="Emotion" id="1"/>
    <tableColumn name="Total Elements" id="2"/>
    <tableColumn name="Correct Classification" id="3"/>
    <tableColumn name="Wrong Classification" id="4"/>
  </tableColumns>
  <tableStyleInfo name="Foglio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9.88"/>
    <col customWidth="1" min="3" max="3" width="25.0"/>
    <col customWidth="1" min="4" max="5" width="24.25"/>
    <col customWidth="1" min="6" max="6" width="15.75"/>
    <col customWidth="1" min="7" max="8" width="15.63"/>
    <col customWidth="1" min="9" max="9" width="1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>
        <v>552.0</v>
      </c>
      <c r="C2" s="5">
        <f t="shared" ref="C2:C8" si="1">SUM(B2-D2-E2)</f>
        <v>438</v>
      </c>
      <c r="D2" s="5">
        <v>36.0</v>
      </c>
      <c r="E2" s="5">
        <v>78.0</v>
      </c>
      <c r="F2" s="5">
        <v>0.7</v>
      </c>
      <c r="G2" s="5">
        <v>0.85</v>
      </c>
      <c r="H2" s="5">
        <v>0.77</v>
      </c>
    </row>
    <row r="3">
      <c r="A3" s="6" t="s">
        <v>10</v>
      </c>
      <c r="B3" s="7">
        <v>850.0</v>
      </c>
      <c r="C3" s="7">
        <f t="shared" si="1"/>
        <v>648</v>
      </c>
      <c r="D3" s="7">
        <v>48.0</v>
      </c>
      <c r="E3" s="7">
        <v>154.0</v>
      </c>
      <c r="F3" s="7">
        <v>0.6</v>
      </c>
      <c r="G3" s="7">
        <v>0.81</v>
      </c>
      <c r="H3" s="7">
        <v>0.69</v>
      </c>
    </row>
    <row r="4">
      <c r="A4" s="4" t="s">
        <v>11</v>
      </c>
      <c r="B4" s="5">
        <v>374.0</v>
      </c>
      <c r="C4" s="5">
        <f t="shared" si="1"/>
        <v>130</v>
      </c>
      <c r="D4" s="5">
        <v>25.0</v>
      </c>
      <c r="E4" s="5">
        <v>219.0</v>
      </c>
      <c r="F4" s="5">
        <v>0.75</v>
      </c>
      <c r="G4" s="5">
        <v>0.37</v>
      </c>
      <c r="H4" s="5">
        <v>0.5</v>
      </c>
    </row>
    <row r="5">
      <c r="A5" s="6" t="s">
        <v>12</v>
      </c>
      <c r="B5" s="7">
        <v>456.0</v>
      </c>
      <c r="C5" s="7">
        <f t="shared" si="1"/>
        <v>170</v>
      </c>
      <c r="D5" s="7">
        <v>27.0</v>
      </c>
      <c r="E5" s="7">
        <v>259.0</v>
      </c>
      <c r="F5" s="7">
        <v>0.43</v>
      </c>
      <c r="G5" s="7">
        <v>0.4</v>
      </c>
      <c r="H5" s="7">
        <v>0.42</v>
      </c>
    </row>
    <row r="6">
      <c r="A6" s="4" t="s">
        <v>13</v>
      </c>
      <c r="B6" s="5">
        <v>361.0</v>
      </c>
      <c r="C6" s="5">
        <f t="shared" si="1"/>
        <v>23</v>
      </c>
      <c r="D6" s="5">
        <v>13.0</v>
      </c>
      <c r="E6" s="5">
        <v>325.0</v>
      </c>
      <c r="F6" s="5">
        <v>0.77</v>
      </c>
      <c r="G6" s="5">
        <v>0.07</v>
      </c>
      <c r="H6" s="5">
        <v>0.12</v>
      </c>
    </row>
    <row r="7">
      <c r="A7" s="6" t="s">
        <v>14</v>
      </c>
      <c r="B7" s="7">
        <v>456.0</v>
      </c>
      <c r="C7" s="7">
        <f t="shared" si="1"/>
        <v>222</v>
      </c>
      <c r="D7" s="7">
        <v>29.0</v>
      </c>
      <c r="E7" s="7">
        <v>205.0</v>
      </c>
      <c r="F7" s="7">
        <v>0.38</v>
      </c>
      <c r="G7" s="7">
        <v>0.52</v>
      </c>
      <c r="H7" s="7">
        <v>0.44</v>
      </c>
    </row>
    <row r="8">
      <c r="A8" s="4" t="s">
        <v>15</v>
      </c>
      <c r="B8" s="5">
        <v>432.0</v>
      </c>
      <c r="C8" s="5">
        <f t="shared" si="1"/>
        <v>209</v>
      </c>
      <c r="D8" s="5">
        <v>21.0</v>
      </c>
      <c r="E8" s="5">
        <v>202.0</v>
      </c>
      <c r="F8" s="5">
        <v>0.52</v>
      </c>
      <c r="G8" s="5">
        <v>0.51</v>
      </c>
      <c r="H8" s="5">
        <v>0.51</v>
      </c>
    </row>
    <row r="9">
      <c r="B9" s="8"/>
      <c r="C9" s="8"/>
      <c r="D9" s="8"/>
      <c r="E9" s="8"/>
      <c r="F9" s="8"/>
      <c r="G9" s="8"/>
      <c r="H9" s="8"/>
    </row>
    <row r="10">
      <c r="A10" s="9" t="s">
        <v>16</v>
      </c>
      <c r="B10" s="10">
        <f t="shared" ref="B10:E10" si="2">SUM(B2:B8)</f>
        <v>3481</v>
      </c>
      <c r="C10" s="10">
        <f t="shared" si="2"/>
        <v>1840</v>
      </c>
      <c r="D10" s="10">
        <f t="shared" si="2"/>
        <v>199</v>
      </c>
      <c r="E10" s="10">
        <f t="shared" si="2"/>
        <v>1442</v>
      </c>
      <c r="F10" s="11">
        <v>0.59</v>
      </c>
      <c r="G10" s="11">
        <v>0.56</v>
      </c>
      <c r="H10" s="11">
        <v>0.53</v>
      </c>
      <c r="I10" s="12">
        <v>0.56</v>
      </c>
    </row>
    <row r="25">
      <c r="A25" s="1" t="s">
        <v>0</v>
      </c>
      <c r="B25" s="2" t="s">
        <v>1</v>
      </c>
      <c r="C25" s="2" t="s">
        <v>2</v>
      </c>
      <c r="D25" s="2" t="s">
        <v>4</v>
      </c>
      <c r="E25" s="2" t="s">
        <v>5</v>
      </c>
      <c r="F25" s="2" t="s">
        <v>6</v>
      </c>
      <c r="G25" s="2" t="s">
        <v>7</v>
      </c>
      <c r="H25" s="3" t="s">
        <v>8</v>
      </c>
    </row>
    <row r="26">
      <c r="A26" s="4" t="s">
        <v>9</v>
      </c>
      <c r="B26" s="13">
        <v>36.0</v>
      </c>
      <c r="C26" s="13">
        <f t="shared" ref="C26:C32" si="3">SUM(B26-D26)</f>
        <v>29</v>
      </c>
      <c r="D26" s="13">
        <v>7.0</v>
      </c>
      <c r="E26" s="13">
        <v>0.64</v>
      </c>
      <c r="F26" s="13">
        <v>0.81</v>
      </c>
      <c r="G26" s="13">
        <v>0.72</v>
      </c>
    </row>
    <row r="27">
      <c r="A27" s="6" t="s">
        <v>10</v>
      </c>
      <c r="B27" s="14">
        <v>48.0</v>
      </c>
      <c r="C27" s="14">
        <f t="shared" si="3"/>
        <v>40</v>
      </c>
      <c r="D27" s="14">
        <v>8.0</v>
      </c>
      <c r="E27" s="14">
        <v>0.68</v>
      </c>
      <c r="F27" s="14">
        <v>0.83</v>
      </c>
      <c r="G27" s="14">
        <v>0.75</v>
      </c>
    </row>
    <row r="28">
      <c r="A28" s="4" t="s">
        <v>11</v>
      </c>
      <c r="B28" s="13">
        <v>25.0</v>
      </c>
      <c r="C28" s="13">
        <f t="shared" si="3"/>
        <v>9</v>
      </c>
      <c r="D28" s="13">
        <v>16.0</v>
      </c>
      <c r="E28" s="13">
        <v>0.56</v>
      </c>
      <c r="F28" s="13">
        <v>0.4</v>
      </c>
      <c r="G28" s="13">
        <v>0.47</v>
      </c>
    </row>
    <row r="29">
      <c r="A29" s="6" t="s">
        <v>12</v>
      </c>
      <c r="B29" s="14">
        <v>27.0</v>
      </c>
      <c r="C29" s="14">
        <f t="shared" si="3"/>
        <v>9</v>
      </c>
      <c r="D29" s="14">
        <v>18.0</v>
      </c>
      <c r="E29" s="14">
        <v>0.45</v>
      </c>
      <c r="F29" s="14">
        <v>0.33</v>
      </c>
      <c r="G29" s="14">
        <v>0.38</v>
      </c>
    </row>
    <row r="30">
      <c r="A30" s="4" t="s">
        <v>13</v>
      </c>
      <c r="B30" s="13">
        <v>13.0</v>
      </c>
      <c r="C30" s="13">
        <f t="shared" si="3"/>
        <v>0</v>
      </c>
      <c r="D30" s="13">
        <v>13.0</v>
      </c>
      <c r="E30" s="13">
        <v>0.0</v>
      </c>
      <c r="F30" s="13">
        <v>0.0</v>
      </c>
      <c r="G30" s="13">
        <v>0.0</v>
      </c>
    </row>
    <row r="31">
      <c r="A31" s="6" t="s">
        <v>14</v>
      </c>
      <c r="B31" s="14">
        <v>29.0</v>
      </c>
      <c r="C31" s="14">
        <f t="shared" si="3"/>
        <v>17</v>
      </c>
      <c r="D31" s="14">
        <v>12.0</v>
      </c>
      <c r="E31" s="14">
        <v>0.52</v>
      </c>
      <c r="F31" s="14">
        <v>0.59</v>
      </c>
      <c r="G31" s="14">
        <v>0.55</v>
      </c>
    </row>
    <row r="32">
      <c r="A32" s="4" t="s">
        <v>15</v>
      </c>
      <c r="B32" s="13">
        <v>21.0</v>
      </c>
      <c r="C32" s="13">
        <f t="shared" si="3"/>
        <v>12</v>
      </c>
      <c r="D32" s="13">
        <v>9.0</v>
      </c>
      <c r="E32" s="13">
        <v>0.5</v>
      </c>
      <c r="F32" s="13">
        <v>0.57</v>
      </c>
      <c r="G32" s="13">
        <v>0.53</v>
      </c>
    </row>
    <row r="33">
      <c r="B33" s="8"/>
      <c r="C33" s="8"/>
      <c r="D33" s="8"/>
      <c r="E33" s="8"/>
      <c r="F33" s="8"/>
      <c r="G33" s="8"/>
    </row>
    <row r="34">
      <c r="A34" s="9" t="s">
        <v>16</v>
      </c>
      <c r="B34" s="10">
        <f t="shared" ref="B34:D34" si="4">SUM(B26:B32)</f>
        <v>199</v>
      </c>
      <c r="C34" s="10">
        <f t="shared" si="4"/>
        <v>116</v>
      </c>
      <c r="D34" s="10">
        <f t="shared" si="4"/>
        <v>83</v>
      </c>
      <c r="E34" s="15">
        <v>0.54</v>
      </c>
      <c r="F34" s="15">
        <v>0.59</v>
      </c>
      <c r="G34" s="15">
        <v>0.56</v>
      </c>
      <c r="H34" s="12">
        <v>0.59</v>
      </c>
    </row>
    <row r="49">
      <c r="A49" s="1" t="s">
        <v>0</v>
      </c>
      <c r="B49" s="2" t="s">
        <v>1</v>
      </c>
      <c r="C49" s="2" t="s">
        <v>2</v>
      </c>
      <c r="D49" s="16" t="s">
        <v>4</v>
      </c>
    </row>
    <row r="50">
      <c r="A50" s="4" t="s">
        <v>9</v>
      </c>
      <c r="B50" s="13">
        <v>552.0</v>
      </c>
      <c r="C50" s="13">
        <f t="shared" ref="C50:C56" si="5">SUM(B50-D50)</f>
        <v>467</v>
      </c>
      <c r="D50" s="17">
        <v>85.0</v>
      </c>
    </row>
    <row r="51">
      <c r="A51" s="6" t="s">
        <v>10</v>
      </c>
      <c r="B51" s="14">
        <v>850.0</v>
      </c>
      <c r="C51" s="14">
        <f t="shared" si="5"/>
        <v>688</v>
      </c>
      <c r="D51" s="18">
        <v>162.0</v>
      </c>
    </row>
    <row r="52">
      <c r="A52" s="4" t="s">
        <v>11</v>
      </c>
      <c r="B52" s="13">
        <v>374.0</v>
      </c>
      <c r="C52" s="13">
        <f t="shared" si="5"/>
        <v>139</v>
      </c>
      <c r="D52" s="17">
        <v>235.0</v>
      </c>
    </row>
    <row r="53">
      <c r="A53" s="6" t="s">
        <v>12</v>
      </c>
      <c r="B53" s="14">
        <v>456.0</v>
      </c>
      <c r="C53" s="14">
        <f t="shared" si="5"/>
        <v>179</v>
      </c>
      <c r="D53" s="18">
        <v>277.0</v>
      </c>
    </row>
    <row r="54">
      <c r="A54" s="4" t="s">
        <v>13</v>
      </c>
      <c r="B54" s="13">
        <v>361.0</v>
      </c>
      <c r="C54" s="13">
        <f t="shared" si="5"/>
        <v>23</v>
      </c>
      <c r="D54" s="17">
        <v>338.0</v>
      </c>
    </row>
    <row r="55">
      <c r="A55" s="6" t="s">
        <v>14</v>
      </c>
      <c r="B55" s="14">
        <v>456.0</v>
      </c>
      <c r="C55" s="14">
        <f t="shared" si="5"/>
        <v>239</v>
      </c>
      <c r="D55" s="18">
        <v>217.0</v>
      </c>
    </row>
    <row r="56">
      <c r="A56" s="4" t="s">
        <v>15</v>
      </c>
      <c r="B56" s="13">
        <v>432.0</v>
      </c>
      <c r="C56" s="13">
        <f t="shared" si="5"/>
        <v>221</v>
      </c>
      <c r="D56" s="17">
        <v>211.0</v>
      </c>
    </row>
    <row r="57">
      <c r="B57" s="8"/>
      <c r="C57" s="8"/>
      <c r="D57" s="19"/>
    </row>
    <row r="58">
      <c r="A58" s="9" t="s">
        <v>16</v>
      </c>
      <c r="B58" s="10">
        <f t="shared" ref="B58:D58" si="6">SUM(B50:B56)</f>
        <v>3481</v>
      </c>
      <c r="C58" s="10">
        <f t="shared" si="6"/>
        <v>1956</v>
      </c>
      <c r="D58" s="20">
        <f t="shared" si="6"/>
        <v>1525</v>
      </c>
    </row>
  </sheetData>
  <dataValidations>
    <dataValidation type="custom" allowBlank="1" showDropDown="1" sqref="B2:H10 B26:G34 B50:D58">
      <formula1>AND(ISNUMBER(B2),(NOT(OR(NOT(ISERROR(DATEVALUE(B2))), AND(ISNUMBER(B2), LEFT(CELL("format", B2))="D")))))</formula1>
    </dataValidation>
  </dataValidations>
  <drawing r:id="rId1"/>
  <tableParts count="3">
    <tablePart r:id="rId5"/>
    <tablePart r:id="rId6"/>
    <tablePart r:id="rId7"/>
  </tableParts>
</worksheet>
</file>